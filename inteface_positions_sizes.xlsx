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my data\VSprojects\Create_and_fill_docs_V3\"/>
    </mc:Choice>
  </mc:AlternateContent>
  <xr:revisionPtr revIDLastSave="0" documentId="13_ncr:1_{E9AD6B39-3EB3-4965-8121-C85A401AA0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form" sheetId="1" r:id="rId1"/>
    <sheet name="Sett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" i="1" l="1"/>
  <c r="J10" i="2"/>
  <c r="E42" i="2"/>
  <c r="D42" i="2"/>
  <c r="J9" i="2"/>
  <c r="F42" i="2"/>
  <c r="F41" i="2"/>
  <c r="F40" i="2"/>
  <c r="E40" i="2"/>
  <c r="E41" i="2"/>
  <c r="E37" i="2"/>
  <c r="C38" i="2" s="1"/>
  <c r="E36" i="2"/>
  <c r="C35" i="2"/>
  <c r="E34" i="2"/>
  <c r="E33" i="2"/>
  <c r="E31" i="2"/>
  <c r="C32" i="2" s="1"/>
  <c r="E30" i="2"/>
  <c r="D39" i="2"/>
  <c r="D38" i="2"/>
  <c r="D37" i="2"/>
  <c r="D36" i="2"/>
  <c r="D35" i="2"/>
  <c r="D34" i="2"/>
  <c r="D33" i="2"/>
  <c r="D32" i="2"/>
  <c r="D31" i="2"/>
  <c r="D30" i="2"/>
  <c r="D29" i="2"/>
  <c r="F39" i="2"/>
  <c r="F37" i="2"/>
  <c r="F36" i="2"/>
  <c r="F34" i="2"/>
  <c r="F33" i="2"/>
  <c r="F31" i="2"/>
  <c r="F30" i="2"/>
  <c r="F29" i="2"/>
  <c r="E38" i="2"/>
  <c r="E35" i="2"/>
  <c r="E32" i="2"/>
  <c r="F38" i="2"/>
  <c r="F35" i="2"/>
  <c r="F32" i="2"/>
  <c r="E39" i="2"/>
  <c r="E29" i="2"/>
  <c r="E21" i="2"/>
  <c r="C39" i="2"/>
  <c r="C37" i="2"/>
  <c r="C36" i="2"/>
  <c r="C34" i="2"/>
  <c r="C33" i="2"/>
  <c r="C31" i="2"/>
  <c r="C30" i="2"/>
  <c r="C29" i="2"/>
  <c r="D28" i="2"/>
  <c r="D19" i="2"/>
  <c r="D27" i="2"/>
  <c r="D26" i="2"/>
  <c r="D25" i="2"/>
  <c r="D24" i="2"/>
  <c r="D23" i="2"/>
  <c r="D22" i="2"/>
  <c r="C28" i="2"/>
  <c r="C27" i="2"/>
  <c r="C26" i="2"/>
  <c r="C25" i="2"/>
  <c r="C24" i="2"/>
  <c r="C23" i="2"/>
  <c r="C22" i="2"/>
  <c r="D21" i="2"/>
  <c r="C21" i="2"/>
  <c r="F27" i="2"/>
  <c r="F25" i="2"/>
  <c r="F23" i="2"/>
  <c r="F28" i="2"/>
  <c r="F26" i="2"/>
  <c r="F24" i="2"/>
  <c r="F22" i="2"/>
  <c r="F21" i="2"/>
  <c r="E28" i="2"/>
  <c r="E27" i="2"/>
  <c r="E26" i="2"/>
  <c r="E25" i="2"/>
  <c r="E24" i="2"/>
  <c r="E23" i="2"/>
  <c r="E22" i="2"/>
  <c r="E19" i="2"/>
  <c r="C19" i="2"/>
  <c r="D18" i="2"/>
  <c r="C18" i="2"/>
  <c r="D17" i="2"/>
  <c r="C17" i="2"/>
  <c r="D16" i="2"/>
  <c r="D15" i="2"/>
  <c r="C16" i="2"/>
  <c r="C15" i="2"/>
  <c r="D14" i="2"/>
  <c r="C14" i="2"/>
  <c r="D13" i="2"/>
  <c r="C13" i="2"/>
  <c r="D12" i="2"/>
  <c r="C12" i="2"/>
  <c r="D11" i="2"/>
  <c r="C11" i="2"/>
  <c r="D10" i="2"/>
  <c r="C10" i="2"/>
  <c r="F19" i="2"/>
  <c r="F18" i="2"/>
  <c r="F17" i="2"/>
  <c r="F16" i="2"/>
  <c r="F15" i="2"/>
  <c r="F14" i="2"/>
  <c r="F13" i="2"/>
  <c r="F12" i="2"/>
  <c r="F11" i="2"/>
  <c r="F10" i="2"/>
  <c r="F9" i="2"/>
  <c r="E18" i="2"/>
  <c r="E17" i="2"/>
  <c r="E16" i="2"/>
  <c r="E15" i="2"/>
  <c r="E14" i="2"/>
  <c r="E13" i="2"/>
  <c r="E12" i="2"/>
  <c r="E11" i="2"/>
  <c r="E10" i="2"/>
  <c r="E9" i="2"/>
  <c r="D9" i="2"/>
  <c r="D7" i="2"/>
  <c r="C9" i="2"/>
  <c r="F8" i="2"/>
  <c r="E8" i="2"/>
  <c r="D8" i="2"/>
  <c r="C8" i="2"/>
  <c r="F7" i="2"/>
  <c r="E7" i="2"/>
  <c r="C7" i="2"/>
  <c r="F6" i="2"/>
  <c r="E6" i="2"/>
  <c r="D6" i="2"/>
  <c r="C6" i="2"/>
  <c r="F5" i="2"/>
  <c r="E5" i="2"/>
  <c r="D5" i="2"/>
  <c r="C5" i="2"/>
  <c r="F4" i="2"/>
  <c r="E4" i="2"/>
  <c r="D4" i="2"/>
  <c r="C4" i="2"/>
  <c r="F3" i="2"/>
  <c r="E3" i="2"/>
  <c r="D3" i="2"/>
  <c r="C3" i="2"/>
  <c r="F2" i="2"/>
  <c r="E2" i="2"/>
  <c r="D2" i="2"/>
  <c r="C2" i="2"/>
  <c r="J14" i="2"/>
  <c r="E19" i="1"/>
  <c r="E18" i="1"/>
  <c r="E17" i="1"/>
  <c r="E16" i="1"/>
  <c r="E15" i="1"/>
  <c r="E2" i="1"/>
  <c r="F22" i="1"/>
  <c r="F20" i="1"/>
  <c r="F18" i="1"/>
  <c r="J14" i="1"/>
  <c r="J13" i="1"/>
  <c r="E22" i="1" s="1"/>
  <c r="D19" i="1"/>
  <c r="D20" i="1" s="1"/>
  <c r="D21" i="1" s="1"/>
  <c r="D22" i="1" s="1"/>
  <c r="D23" i="1" s="1"/>
  <c r="D24" i="1" s="1"/>
  <c r="D18" i="1"/>
  <c r="D17" i="1"/>
  <c r="F24" i="1"/>
  <c r="F23" i="1"/>
  <c r="F21" i="1"/>
  <c r="F19" i="1"/>
  <c r="F17" i="1"/>
  <c r="F16" i="1"/>
  <c r="C24" i="1"/>
  <c r="C23" i="1"/>
  <c r="C22" i="1"/>
  <c r="C21" i="1"/>
  <c r="C20" i="1"/>
  <c r="C19" i="1"/>
  <c r="C18" i="1"/>
  <c r="C17" i="1"/>
  <c r="C16" i="1"/>
  <c r="D16" i="1"/>
  <c r="F15" i="1"/>
  <c r="D15" i="1"/>
  <c r="C15" i="1"/>
  <c r="D13" i="1"/>
  <c r="D14" i="1" s="1"/>
  <c r="D12" i="1"/>
  <c r="D11" i="1"/>
  <c r="C14" i="1"/>
  <c r="C13" i="1"/>
  <c r="C10" i="1"/>
  <c r="C9" i="1"/>
  <c r="C6" i="1"/>
  <c r="C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D5" i="1"/>
  <c r="E14" i="1"/>
  <c r="E13" i="1"/>
  <c r="E12" i="1"/>
  <c r="E11" i="1"/>
  <c r="E10" i="1"/>
  <c r="E9" i="1"/>
  <c r="E8" i="1"/>
  <c r="E7" i="1"/>
  <c r="E6" i="1"/>
  <c r="E5" i="1"/>
  <c r="E4" i="1"/>
  <c r="E3" i="1"/>
  <c r="C12" i="1"/>
  <c r="C11" i="1"/>
  <c r="D6" i="1"/>
  <c r="D4" i="1"/>
  <c r="D9" i="1" s="1"/>
  <c r="D3" i="1"/>
  <c r="C8" i="1"/>
  <c r="C7" i="1"/>
  <c r="C4" i="1"/>
  <c r="C3" i="1"/>
  <c r="C2" i="1"/>
  <c r="J9" i="1"/>
  <c r="E23" i="1" l="1"/>
  <c r="E21" i="1"/>
  <c r="E24" i="1"/>
  <c r="E20" i="1"/>
  <c r="D7" i="1"/>
  <c r="D10" i="1" l="1"/>
  <c r="D8" i="1"/>
</calcChain>
</file>

<file path=xl/sharedStrings.xml><?xml version="1.0" encoding="utf-8"?>
<sst xmlns="http://schemas.openxmlformats.org/spreadsheetml/2006/main" count="114" uniqueCount="82">
  <si>
    <t>#</t>
  </si>
  <si>
    <t>NAME</t>
  </si>
  <si>
    <t>START_X</t>
  </si>
  <si>
    <t>START_Y</t>
  </si>
  <si>
    <t>lblProgramInfo</t>
  </si>
  <si>
    <t>lblWorkStartDate</t>
  </si>
  <si>
    <t>txtbWorkStartDate</t>
  </si>
  <si>
    <t>lblWorkEndDate</t>
  </si>
  <si>
    <t>txtbWorkEndDate</t>
  </si>
  <si>
    <t>lblGreenEndDate</t>
  </si>
  <si>
    <t>txtbGreenEndDate</t>
  </si>
  <si>
    <t>lblDocumentsDate</t>
  </si>
  <si>
    <t>txtbDocumentsDate</t>
  </si>
  <si>
    <t>lblShortAdress</t>
  </si>
  <si>
    <t>txtbShortAdress</t>
  </si>
  <si>
    <t>lblFullAdress</t>
  </si>
  <si>
    <t>txtbFullAdress</t>
  </si>
  <si>
    <t>lblNotionNumber</t>
  </si>
  <si>
    <t>txtbNotionNumber</t>
  </si>
  <si>
    <t>lblMasterName</t>
  </si>
  <si>
    <t>lstMasteNames</t>
  </si>
  <si>
    <t>lblNotionOrgs</t>
  </si>
  <si>
    <t>lstNotionOrgs</t>
  </si>
  <si>
    <t>lblWorkType</t>
  </si>
  <si>
    <t>lstWorkType</t>
  </si>
  <si>
    <t>btnSubmitForm</t>
  </si>
  <si>
    <t>btnSettings</t>
  </si>
  <si>
    <t>BRD_LRB</t>
  </si>
  <si>
    <t>BRD_U</t>
  </si>
  <si>
    <t>FORM_STATS</t>
  </si>
  <si>
    <t>SIZE_X</t>
  </si>
  <si>
    <t>SIZE_Y</t>
  </si>
  <si>
    <t>MRG_G_X</t>
  </si>
  <si>
    <t>VALUE</t>
  </si>
  <si>
    <t>MRG_G_Y</t>
  </si>
  <si>
    <t>MRG_S_X</t>
  </si>
  <si>
    <t>MRG_S_Y</t>
  </si>
  <si>
    <t>SIZE_S_X</t>
  </si>
  <si>
    <t>SIZE_S_Y</t>
  </si>
  <si>
    <t>SIZE_L_X</t>
  </si>
  <si>
    <t>SIZE_L_Y</t>
  </si>
  <si>
    <t>lblTmpltsInfo</t>
  </si>
  <si>
    <t>lblTmpltNotionNumber</t>
  </si>
  <si>
    <t>txtbTmpltNotionNumber</t>
  </si>
  <si>
    <t>lblTmpltFullAdress</t>
  </si>
  <si>
    <t>txtbTmpltFullAdress</t>
  </si>
  <si>
    <t>lblTmpltWorkType</t>
  </si>
  <si>
    <t>txtbTmpltWorkType</t>
  </si>
  <si>
    <t>lblDateInfo</t>
  </si>
  <si>
    <t>lblTmpltDocumentsDateStr</t>
  </si>
  <si>
    <t>txtbTmpltDocumentsDateStr</t>
  </si>
  <si>
    <t>lblTmpltDocumentsDateD</t>
  </si>
  <si>
    <t>txtbTmpltDocumentsDateD</t>
  </si>
  <si>
    <t>lblTmpltWorkStartDate</t>
  </si>
  <si>
    <t>txtbTmpltWorkStartDate</t>
  </si>
  <si>
    <t>lblTmpltWorkEndDate</t>
  </si>
  <si>
    <t>txtbTmpltWorkEndDate</t>
  </si>
  <si>
    <t>lblTmpltGreenEndDate</t>
  </si>
  <si>
    <t>txtbTmpltGreenEndDate</t>
  </si>
  <si>
    <t>btnHelpTmplt</t>
  </si>
  <si>
    <t>-</t>
  </si>
  <si>
    <t>btnListsHelp</t>
  </si>
  <si>
    <t>txtbWorkTypes</t>
  </si>
  <si>
    <t>lblWorkTypes</t>
  </si>
  <si>
    <t>txtbNotionOrgs</t>
  </si>
  <si>
    <t>txtbMasterNames</t>
  </si>
  <si>
    <t>lblMasterNames</t>
  </si>
  <si>
    <t>lblListsInfo</t>
  </si>
  <si>
    <t>lblPathsInfo</t>
  </si>
  <si>
    <t>lblExamplesDirPath</t>
  </si>
  <si>
    <t>lblOpenActsDirPath</t>
  </si>
  <si>
    <t>txtbExamplesDirPath</t>
  </si>
  <si>
    <t>txtbOpenActsDirPath</t>
  </si>
  <si>
    <t>lblClosedActsDirPath</t>
  </si>
  <si>
    <t>txtbClosedActsDirPath</t>
  </si>
  <si>
    <t>btnPathsHepl</t>
  </si>
  <si>
    <t>btnExamplesDirPath</t>
  </si>
  <si>
    <t>btnOpenActsDirPath</t>
  </si>
  <si>
    <t>btnClosedActsDirPath</t>
  </si>
  <si>
    <t>tbcSettings</t>
  </si>
  <si>
    <t>tbcSettingsP</t>
  </si>
  <si>
    <t>btnSaveSettings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</si>
</sst>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#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Maple Mono"/>
      <family val="3"/>
      <charset val="204"/>
    </font>
    <font>
      <b/>
      <sz val="10"/>
      <color theme="1"/>
      <name val="Maple Mono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ck">
        <color auto="1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thick">
        <color auto="1"/>
      </right>
      <top style="medium">
        <color theme="0" tint="-0.24994659260841701"/>
      </top>
      <bottom style="medium">
        <color theme="0" tint="-0.24994659260841701"/>
      </bottom>
      <diagonal/>
    </border>
    <border>
      <left style="thick">
        <color auto="1"/>
      </left>
      <right/>
      <top style="medium">
        <color theme="0" tint="-0.24994659260841701"/>
      </top>
      <bottom style="thick">
        <color auto="1"/>
      </bottom>
      <diagonal/>
    </border>
    <border>
      <left/>
      <right/>
      <top style="medium">
        <color theme="0" tint="-0.24994659260841701"/>
      </top>
      <bottom style="thick">
        <color auto="1"/>
      </bottom>
      <diagonal/>
    </border>
    <border>
      <left/>
      <right style="thick">
        <color auto="1"/>
      </right>
      <top style="medium">
        <color theme="0" tint="-0.24994659260841701"/>
      </top>
      <bottom style="thick">
        <color auto="1"/>
      </bottom>
      <diagonal/>
    </border>
    <border>
      <left style="thick">
        <color auto="1"/>
      </left>
      <right/>
      <top/>
      <bottom style="medium">
        <color theme="0" tint="-0.24994659260841701"/>
      </bottom>
      <diagonal/>
    </border>
    <border>
      <left/>
      <right/>
      <top/>
      <bottom style="medium">
        <color theme="0" tint="-0.24994659260841701"/>
      </bottom>
      <diagonal/>
    </border>
    <border>
      <left/>
      <right style="thick">
        <color auto="1"/>
      </right>
      <top/>
      <bottom style="medium">
        <color theme="0" tint="-0.2499465926084170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 style="thick">
        <color auto="1"/>
      </left>
      <right/>
      <top style="medium">
        <color theme="0" tint="-0.24994659260841701"/>
      </top>
      <bottom style="medium">
        <color auto="1"/>
      </bottom>
      <diagonal/>
    </border>
    <border>
      <left/>
      <right/>
      <top style="medium">
        <color theme="0" tint="-0.24994659260841701"/>
      </top>
      <bottom style="medium">
        <color auto="1"/>
      </bottom>
      <diagonal/>
    </border>
    <border>
      <left/>
      <right style="thick">
        <color auto="1"/>
      </right>
      <top style="medium">
        <color theme="0" tint="-0.24994659260841701"/>
      </top>
      <bottom style="medium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right" vertical="center"/>
    </xf>
    <xf numFmtId="0" fontId="1" fillId="2" borderId="3" xfId="0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2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right" vertical="center"/>
    </xf>
    <xf numFmtId="0" fontId="1" fillId="2" borderId="6" xfId="0" applyFont="1" applyFill="1" applyBorder="1" applyAlignment="1">
      <alignment horizontal="right" vertical="center"/>
    </xf>
    <xf numFmtId="0" fontId="1" fillId="2" borderId="7" xfId="0" applyFont="1" applyFill="1" applyBorder="1" applyAlignment="1">
      <alignment horizontal="right" vertical="center"/>
    </xf>
    <xf numFmtId="0" fontId="1" fillId="2" borderId="8" xfId="0" applyFont="1" applyFill="1" applyBorder="1" applyAlignment="1">
      <alignment horizontal="left" vertical="center"/>
    </xf>
    <xf numFmtId="0" fontId="1" fillId="2" borderId="8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right" vertical="center"/>
    </xf>
    <xf numFmtId="0" fontId="2" fillId="2" borderId="10" xfId="0" applyFont="1" applyFill="1" applyBorder="1" applyAlignment="1">
      <alignment horizontal="righ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right" vertical="center"/>
    </xf>
    <xf numFmtId="0" fontId="2" fillId="2" borderId="12" xfId="0" applyFont="1" applyFill="1" applyBorder="1" applyAlignment="1">
      <alignment horizontal="right" vertical="center"/>
    </xf>
    <xf numFmtId="164" fontId="1" fillId="2" borderId="7" xfId="0" applyNumberFormat="1" applyFont="1" applyFill="1" applyBorder="1" applyAlignment="1">
      <alignment horizontal="right" vertical="center"/>
    </xf>
    <xf numFmtId="164" fontId="1" fillId="2" borderId="1" xfId="0" applyNumberFormat="1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horizontal="right" vertical="center"/>
    </xf>
    <xf numFmtId="0" fontId="2" fillId="2" borderId="16" xfId="0" applyFont="1" applyFill="1" applyBorder="1" applyAlignment="1">
      <alignment horizontal="righ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right" vertical="center"/>
    </xf>
    <xf numFmtId="164" fontId="1" fillId="2" borderId="19" xfId="0" applyNumberFormat="1" applyFont="1" applyFill="1" applyBorder="1" applyAlignment="1">
      <alignment horizontal="right" vertical="center"/>
    </xf>
    <xf numFmtId="0" fontId="1" fillId="2" borderId="20" xfId="0" applyFont="1" applyFill="1" applyBorder="1" applyAlignment="1">
      <alignment horizontal="left" vertical="center"/>
    </xf>
    <xf numFmtId="0" fontId="1" fillId="2" borderId="20" xfId="0" applyFont="1" applyFill="1" applyBorder="1" applyAlignment="1">
      <alignment horizontal="right" vertical="center"/>
    </xf>
    <xf numFmtId="0" fontId="1" fillId="2" borderId="21" xfId="0" applyFont="1" applyFill="1" applyBorder="1" applyAlignment="1">
      <alignment horizontal="right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="90" zoomScaleNormal="90" workbookViewId="0">
      <selection activeCell="J10" sqref="J10"/>
    </sheetView>
  </sheetViews>
  <sheetFormatPr defaultRowHeight="16.5" x14ac:dyDescent="0.3"/>
  <cols>
    <col min="1" max="1" width="10.7109375" customWidth="1"/>
    <col min="2" max="2" width="26.140625" bestFit="1" customWidth="1"/>
    <col min="3" max="6" width="10.7109375" customWidth="1"/>
    <col min="7" max="8" width="10.7109375" style="3" customWidth="1"/>
    <col min="9" max="9" width="11.28515625" style="4" bestFit="1" customWidth="1"/>
    <col min="10" max="10" width="9.85546875" style="3" bestFit="1" customWidth="1"/>
    <col min="11" max="16384" width="9.140625" style="1"/>
  </cols>
  <sheetData>
    <row r="1" spans="1:13" s="2" customFormat="1" ht="16.5" customHeight="1" thickTop="1" thickBot="1" x14ac:dyDescent="0.3">
      <c r="A1" s="19" t="s">
        <v>0</v>
      </c>
      <c r="B1" s="20" t="s">
        <v>1</v>
      </c>
      <c r="C1" s="21" t="s">
        <v>2</v>
      </c>
      <c r="D1" s="21" t="s">
        <v>3</v>
      </c>
      <c r="E1" s="21" t="s">
        <v>30</v>
      </c>
      <c r="F1" s="22" t="s">
        <v>31</v>
      </c>
      <c r="H1" s="33" t="s">
        <v>29</v>
      </c>
      <c r="I1" s="34"/>
      <c r="J1" s="35"/>
    </row>
    <row r="2" spans="1:13" ht="17.25" thickBot="1" x14ac:dyDescent="0.35">
      <c r="A2" s="23">
        <v>1</v>
      </c>
      <c r="B2" s="16" t="s">
        <v>4</v>
      </c>
      <c r="C2" s="17">
        <f>J5</f>
        <v>15</v>
      </c>
      <c r="D2" s="17">
        <v>15</v>
      </c>
      <c r="E2" s="17">
        <f>J13</f>
        <v>515</v>
      </c>
      <c r="F2" s="18">
        <f>J12</f>
        <v>25</v>
      </c>
      <c r="H2" s="26" t="s">
        <v>0</v>
      </c>
      <c r="I2" s="27" t="s">
        <v>1</v>
      </c>
      <c r="J2" s="28" t="s">
        <v>33</v>
      </c>
      <c r="K2" s="5"/>
      <c r="L2" s="5"/>
      <c r="M2" s="5"/>
    </row>
    <row r="3" spans="1:13" ht="17.25" thickBot="1" x14ac:dyDescent="0.35">
      <c r="A3" s="24">
        <v>2</v>
      </c>
      <c r="B3" s="8" t="s">
        <v>5</v>
      </c>
      <c r="C3" s="9">
        <f>J5</f>
        <v>15</v>
      </c>
      <c r="D3" s="9">
        <f>D2+J5+F2</f>
        <v>55</v>
      </c>
      <c r="E3" s="9">
        <f>J11</f>
        <v>250</v>
      </c>
      <c r="F3" s="10">
        <f>J12</f>
        <v>25</v>
      </c>
      <c r="H3" s="23">
        <v>1</v>
      </c>
      <c r="I3" s="16" t="s">
        <v>27</v>
      </c>
      <c r="J3" s="18">
        <v>8</v>
      </c>
      <c r="K3" s="6"/>
      <c r="L3" s="6"/>
      <c r="M3" s="6"/>
    </row>
    <row r="4" spans="1:13" ht="17.25" thickBot="1" x14ac:dyDescent="0.35">
      <c r="A4" s="24">
        <v>3</v>
      </c>
      <c r="B4" s="8" t="s">
        <v>6</v>
      </c>
      <c r="C4" s="9">
        <f>J5</f>
        <v>15</v>
      </c>
      <c r="D4" s="9">
        <f>D3+F3+J8</f>
        <v>85</v>
      </c>
      <c r="E4" s="9">
        <f>J11</f>
        <v>250</v>
      </c>
      <c r="F4" s="10">
        <f>J12</f>
        <v>25</v>
      </c>
      <c r="H4" s="24">
        <v>2</v>
      </c>
      <c r="I4" s="8" t="s">
        <v>28</v>
      </c>
      <c r="J4" s="10">
        <v>31</v>
      </c>
    </row>
    <row r="5" spans="1:13" ht="17.25" thickBot="1" x14ac:dyDescent="0.35">
      <c r="A5" s="24">
        <v>4</v>
      </c>
      <c r="B5" s="8" t="s">
        <v>7</v>
      </c>
      <c r="C5" s="9">
        <f>2*J5+J11</f>
        <v>280</v>
      </c>
      <c r="D5" s="9">
        <f>D2+J6+F2</f>
        <v>55</v>
      </c>
      <c r="E5" s="9">
        <f>J11</f>
        <v>250</v>
      </c>
      <c r="F5" s="10">
        <f>J12</f>
        <v>25</v>
      </c>
      <c r="H5" s="24">
        <v>3</v>
      </c>
      <c r="I5" s="8" t="s">
        <v>32</v>
      </c>
      <c r="J5" s="10">
        <v>15</v>
      </c>
    </row>
    <row r="6" spans="1:13" ht="17.25" thickBot="1" x14ac:dyDescent="0.35">
      <c r="A6" s="24">
        <v>5</v>
      </c>
      <c r="B6" s="8" t="s">
        <v>8</v>
      </c>
      <c r="C6" s="9">
        <f>2*J5+J11</f>
        <v>280</v>
      </c>
      <c r="D6" s="9">
        <f>D3+F3+J8</f>
        <v>85</v>
      </c>
      <c r="E6" s="9">
        <f>J11</f>
        <v>250</v>
      </c>
      <c r="F6" s="10">
        <f>J12</f>
        <v>25</v>
      </c>
      <c r="H6" s="24">
        <v>4</v>
      </c>
      <c r="I6" s="8" t="s">
        <v>34</v>
      </c>
      <c r="J6" s="10">
        <v>15</v>
      </c>
    </row>
    <row r="7" spans="1:13" ht="17.25" thickBot="1" x14ac:dyDescent="0.35">
      <c r="A7" s="24">
        <v>6</v>
      </c>
      <c r="B7" s="8" t="s">
        <v>9</v>
      </c>
      <c r="C7" s="9">
        <f>J5</f>
        <v>15</v>
      </c>
      <c r="D7" s="9">
        <f>D4+F4+J6</f>
        <v>125</v>
      </c>
      <c r="E7" s="9">
        <f>J11</f>
        <v>250</v>
      </c>
      <c r="F7" s="10">
        <f>J12</f>
        <v>25</v>
      </c>
      <c r="H7" s="24">
        <v>5</v>
      </c>
      <c r="I7" s="8" t="s">
        <v>35</v>
      </c>
      <c r="J7" s="10">
        <v>0</v>
      </c>
    </row>
    <row r="8" spans="1:13" ht="17.25" thickBot="1" x14ac:dyDescent="0.35">
      <c r="A8" s="24">
        <v>7</v>
      </c>
      <c r="B8" s="8" t="s">
        <v>10</v>
      </c>
      <c r="C8" s="9">
        <f>J5</f>
        <v>15</v>
      </c>
      <c r="D8" s="9">
        <f>D7+F7+J8</f>
        <v>155</v>
      </c>
      <c r="E8" s="9">
        <f>J11</f>
        <v>250</v>
      </c>
      <c r="F8" s="10">
        <f>J12</f>
        <v>25</v>
      </c>
      <c r="H8" s="24">
        <v>6</v>
      </c>
      <c r="I8" s="8" t="s">
        <v>36</v>
      </c>
      <c r="J8" s="10">
        <v>5</v>
      </c>
    </row>
    <row r="9" spans="1:13" ht="17.25" thickBot="1" x14ac:dyDescent="0.35">
      <c r="A9" s="24">
        <v>8</v>
      </c>
      <c r="B9" s="8" t="s">
        <v>11</v>
      </c>
      <c r="C9" s="9">
        <f>2*J5+J11</f>
        <v>280</v>
      </c>
      <c r="D9" s="9">
        <f>D4+F4+J6</f>
        <v>125</v>
      </c>
      <c r="E9" s="9">
        <f>J11</f>
        <v>250</v>
      </c>
      <c r="F9" s="10">
        <f>J12</f>
        <v>25</v>
      </c>
      <c r="H9" s="24">
        <v>7</v>
      </c>
      <c r="I9" s="8" t="s">
        <v>30</v>
      </c>
      <c r="J9" s="10">
        <f>J3*2+J5*3+E3*2</f>
        <v>561</v>
      </c>
    </row>
    <row r="10" spans="1:13" ht="17.25" thickBot="1" x14ac:dyDescent="0.35">
      <c r="A10" s="24">
        <v>9</v>
      </c>
      <c r="B10" s="8" t="s">
        <v>12</v>
      </c>
      <c r="C10" s="9">
        <f>2*J5+J11</f>
        <v>280</v>
      </c>
      <c r="D10" s="9">
        <f>D7+F7+J8</f>
        <v>155</v>
      </c>
      <c r="E10" s="9">
        <f>J11</f>
        <v>250</v>
      </c>
      <c r="F10" s="10">
        <f>J12</f>
        <v>25</v>
      </c>
      <c r="H10" s="24">
        <v>8</v>
      </c>
      <c r="I10" s="8" t="s">
        <v>31</v>
      </c>
      <c r="J10" s="10">
        <f>D24+F24+J6+J3+J4</f>
        <v>814</v>
      </c>
    </row>
    <row r="11" spans="1:13" ht="17.25" thickBot="1" x14ac:dyDescent="0.35">
      <c r="A11" s="24">
        <v>10</v>
      </c>
      <c r="B11" s="8" t="s">
        <v>13</v>
      </c>
      <c r="C11" s="9">
        <f>J5</f>
        <v>15</v>
      </c>
      <c r="D11" s="9">
        <f>D10+F10+J6</f>
        <v>195</v>
      </c>
      <c r="E11" s="9">
        <f>J11</f>
        <v>250</v>
      </c>
      <c r="F11" s="10">
        <f>J12</f>
        <v>25</v>
      </c>
      <c r="H11" s="24">
        <v>9</v>
      </c>
      <c r="I11" s="8" t="s">
        <v>37</v>
      </c>
      <c r="J11" s="10">
        <v>250</v>
      </c>
    </row>
    <row r="12" spans="1:13" ht="17.25" thickBot="1" x14ac:dyDescent="0.35">
      <c r="A12" s="24">
        <v>11</v>
      </c>
      <c r="B12" s="8" t="s">
        <v>14</v>
      </c>
      <c r="C12" s="9">
        <f>J5</f>
        <v>15</v>
      </c>
      <c r="D12" s="9">
        <f>D11+F11+J8</f>
        <v>225</v>
      </c>
      <c r="E12" s="9">
        <f>J11</f>
        <v>250</v>
      </c>
      <c r="F12" s="10">
        <f>J12</f>
        <v>25</v>
      </c>
      <c r="H12" s="24">
        <v>10</v>
      </c>
      <c r="I12" s="8" t="s">
        <v>38</v>
      </c>
      <c r="J12" s="10">
        <v>25</v>
      </c>
    </row>
    <row r="13" spans="1:13" ht="17.25" thickBot="1" x14ac:dyDescent="0.35">
      <c r="A13" s="24">
        <v>12</v>
      </c>
      <c r="B13" s="8" t="s">
        <v>17</v>
      </c>
      <c r="C13" s="9">
        <f>2*J5+J11</f>
        <v>280</v>
      </c>
      <c r="D13" s="9">
        <f>D10+F10+J6</f>
        <v>195</v>
      </c>
      <c r="E13" s="9">
        <f>J11</f>
        <v>250</v>
      </c>
      <c r="F13" s="10">
        <f>J12</f>
        <v>25</v>
      </c>
      <c r="H13" s="24">
        <v>11</v>
      </c>
      <c r="I13" s="8" t="s">
        <v>39</v>
      </c>
      <c r="J13" s="10">
        <f>J9-2*J5-2*J3</f>
        <v>515</v>
      </c>
    </row>
    <row r="14" spans="1:13" ht="17.25" thickBot="1" x14ac:dyDescent="0.35">
      <c r="A14" s="24">
        <v>13</v>
      </c>
      <c r="B14" s="8" t="s">
        <v>18</v>
      </c>
      <c r="C14" s="9">
        <f>2*J5+J11</f>
        <v>280</v>
      </c>
      <c r="D14" s="9">
        <f>D13+F13+J8</f>
        <v>225</v>
      </c>
      <c r="E14" s="9">
        <f>J11</f>
        <v>250</v>
      </c>
      <c r="F14" s="10">
        <f>J12</f>
        <v>25</v>
      </c>
      <c r="H14" s="25">
        <v>12</v>
      </c>
      <c r="I14" s="12" t="s">
        <v>40</v>
      </c>
      <c r="J14" s="14">
        <f>3*J12</f>
        <v>75</v>
      </c>
    </row>
    <row r="15" spans="1:13" ht="17.25" thickBot="1" x14ac:dyDescent="0.35">
      <c r="A15" s="24">
        <v>14</v>
      </c>
      <c r="B15" s="8" t="s">
        <v>15</v>
      </c>
      <c r="C15" s="9">
        <f>J5</f>
        <v>15</v>
      </c>
      <c r="D15" s="9">
        <f>D14+F14+J6</f>
        <v>265</v>
      </c>
      <c r="E15" s="9">
        <f>J13</f>
        <v>515</v>
      </c>
      <c r="F15" s="10">
        <f>J12</f>
        <v>25</v>
      </c>
    </row>
    <row r="16" spans="1:13" ht="17.25" thickBot="1" x14ac:dyDescent="0.35">
      <c r="A16" s="24">
        <v>15</v>
      </c>
      <c r="B16" s="8" t="s">
        <v>16</v>
      </c>
      <c r="C16" s="9">
        <f>J5</f>
        <v>15</v>
      </c>
      <c r="D16" s="9">
        <f>D15+F15+J8</f>
        <v>295</v>
      </c>
      <c r="E16" s="9">
        <f>J13</f>
        <v>515</v>
      </c>
      <c r="F16" s="10">
        <f>J12</f>
        <v>25</v>
      </c>
    </row>
    <row r="17" spans="1:6" ht="17.25" thickBot="1" x14ac:dyDescent="0.35">
      <c r="A17" s="24">
        <v>16</v>
      </c>
      <c r="B17" s="8" t="s">
        <v>19</v>
      </c>
      <c r="C17" s="9">
        <f>J5</f>
        <v>15</v>
      </c>
      <c r="D17" s="9">
        <f>D16+F16+J6</f>
        <v>335</v>
      </c>
      <c r="E17" s="9">
        <f>J13</f>
        <v>515</v>
      </c>
      <c r="F17" s="10">
        <f>J12</f>
        <v>25</v>
      </c>
    </row>
    <row r="18" spans="1:6" ht="17.25" thickBot="1" x14ac:dyDescent="0.35">
      <c r="A18" s="24">
        <v>17</v>
      </c>
      <c r="B18" s="8" t="s">
        <v>20</v>
      </c>
      <c r="C18" s="9">
        <f>J5</f>
        <v>15</v>
      </c>
      <c r="D18" s="9">
        <f>D17+F17+J8</f>
        <v>365</v>
      </c>
      <c r="E18" s="9">
        <f>J13</f>
        <v>515</v>
      </c>
      <c r="F18" s="10">
        <f>J14</f>
        <v>75</v>
      </c>
    </row>
    <row r="19" spans="1:6" ht="17.25" thickBot="1" x14ac:dyDescent="0.35">
      <c r="A19" s="24">
        <v>18</v>
      </c>
      <c r="B19" s="8" t="s">
        <v>21</v>
      </c>
      <c r="C19" s="9">
        <f>J5</f>
        <v>15</v>
      </c>
      <c r="D19" s="9">
        <f>D18+F18+J6</f>
        <v>455</v>
      </c>
      <c r="E19" s="9">
        <f>J13</f>
        <v>515</v>
      </c>
      <c r="F19" s="10">
        <f>J12</f>
        <v>25</v>
      </c>
    </row>
    <row r="20" spans="1:6" ht="17.25" thickBot="1" x14ac:dyDescent="0.35">
      <c r="A20" s="24">
        <v>19</v>
      </c>
      <c r="B20" s="8" t="s">
        <v>22</v>
      </c>
      <c r="C20" s="9">
        <f>J5</f>
        <v>15</v>
      </c>
      <c r="D20" s="9">
        <f>D19+F19+J8</f>
        <v>485</v>
      </c>
      <c r="E20" s="9">
        <f>J13</f>
        <v>515</v>
      </c>
      <c r="F20" s="10">
        <f>J14</f>
        <v>75</v>
      </c>
    </row>
    <row r="21" spans="1:6" ht="17.25" thickBot="1" x14ac:dyDescent="0.35">
      <c r="A21" s="24">
        <v>20</v>
      </c>
      <c r="B21" s="8" t="s">
        <v>23</v>
      </c>
      <c r="C21" s="9">
        <f>J5</f>
        <v>15</v>
      </c>
      <c r="D21" s="9">
        <f>D20+F20+J6</f>
        <v>575</v>
      </c>
      <c r="E21" s="9">
        <f>J13</f>
        <v>515</v>
      </c>
      <c r="F21" s="10">
        <f>J12</f>
        <v>25</v>
      </c>
    </row>
    <row r="22" spans="1:6" ht="17.25" thickBot="1" x14ac:dyDescent="0.35">
      <c r="A22" s="24">
        <v>21</v>
      </c>
      <c r="B22" s="8" t="s">
        <v>24</v>
      </c>
      <c r="C22" s="9">
        <f>J5</f>
        <v>15</v>
      </c>
      <c r="D22" s="9">
        <f>D21+F21+J8</f>
        <v>605</v>
      </c>
      <c r="E22" s="9">
        <f>J13</f>
        <v>515</v>
      </c>
      <c r="F22" s="10">
        <f>J14</f>
        <v>75</v>
      </c>
    </row>
    <row r="23" spans="1:6" ht="17.25" thickBot="1" x14ac:dyDescent="0.35">
      <c r="A23" s="24">
        <v>22</v>
      </c>
      <c r="B23" s="8" t="s">
        <v>25</v>
      </c>
      <c r="C23" s="9">
        <f>J5</f>
        <v>15</v>
      </c>
      <c r="D23" s="9">
        <f>D22+F22+J6</f>
        <v>695</v>
      </c>
      <c r="E23" s="9">
        <f>J13</f>
        <v>515</v>
      </c>
      <c r="F23" s="10">
        <f>J12</f>
        <v>25</v>
      </c>
    </row>
    <row r="24" spans="1:6" ht="17.25" thickBot="1" x14ac:dyDescent="0.35">
      <c r="A24" s="25">
        <v>23</v>
      </c>
      <c r="B24" s="12" t="s">
        <v>26</v>
      </c>
      <c r="C24" s="13">
        <f>J5</f>
        <v>15</v>
      </c>
      <c r="D24" s="13">
        <f>D23+F23+J6</f>
        <v>735</v>
      </c>
      <c r="E24" s="13">
        <f>J13</f>
        <v>515</v>
      </c>
      <c r="F24" s="14">
        <f>J12</f>
        <v>25</v>
      </c>
    </row>
    <row r="25" spans="1:6" ht="17.25" thickTop="1" x14ac:dyDescent="0.3"/>
  </sheetData>
  <mergeCells count="1">
    <mergeCell ref="H1:J1"/>
  </mergeCells>
  <pageMargins left="0.7" right="0.7" top="0.75" bottom="0.75" header="0.3" footer="0.3"/>
  <ignoredErrors>
    <ignoredError sqref="F17 E14:E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B40A-E9A5-4F04-8E5F-ABB27DB5500D}">
  <dimension ref="A1:J43"/>
  <sheetViews>
    <sheetView zoomScale="90" zoomScaleNormal="90" workbookViewId="0">
      <selection activeCell="J11" sqref="J11"/>
    </sheetView>
  </sheetViews>
  <sheetFormatPr defaultRowHeight="16.5" x14ac:dyDescent="0.3"/>
  <cols>
    <col min="1" max="1" width="8.7109375" customWidth="1"/>
    <col min="2" max="2" width="37.85546875" bestFit="1" customWidth="1"/>
    <col min="3" max="6" width="10.7109375" customWidth="1"/>
    <col min="7" max="8" width="10.7109375" style="1" customWidth="1"/>
    <col min="9" max="9" width="12.7109375" style="1" bestFit="1" customWidth="1"/>
    <col min="10" max="16384" width="9.140625" style="1"/>
  </cols>
  <sheetData>
    <row r="1" spans="1:10" s="2" customFormat="1" ht="16.5" customHeight="1" thickTop="1" thickBot="1" x14ac:dyDescent="0.3">
      <c r="A1" s="19" t="s">
        <v>0</v>
      </c>
      <c r="B1" s="20" t="s">
        <v>1</v>
      </c>
      <c r="C1" s="21" t="s">
        <v>2</v>
      </c>
      <c r="D1" s="21" t="s">
        <v>3</v>
      </c>
      <c r="E1" s="21" t="s">
        <v>30</v>
      </c>
      <c r="F1" s="22" t="s">
        <v>31</v>
      </c>
      <c r="H1" s="33" t="s">
        <v>29</v>
      </c>
      <c r="I1" s="34"/>
      <c r="J1" s="35"/>
    </row>
    <row r="2" spans="1:10" ht="17.25" thickBot="1" x14ac:dyDescent="0.35">
      <c r="A2" s="23">
        <v>1</v>
      </c>
      <c r="B2" s="16" t="s">
        <v>41</v>
      </c>
      <c r="C2" s="17">
        <f>J5</f>
        <v>15</v>
      </c>
      <c r="D2" s="17">
        <f>J6</f>
        <v>15</v>
      </c>
      <c r="E2" s="17">
        <f>J13</f>
        <v>515</v>
      </c>
      <c r="F2" s="18">
        <f>J12</f>
        <v>25</v>
      </c>
      <c r="H2" s="26" t="s">
        <v>0</v>
      </c>
      <c r="I2" s="27" t="s">
        <v>1</v>
      </c>
      <c r="J2" s="28" t="s">
        <v>33</v>
      </c>
    </row>
    <row r="3" spans="1:10" ht="17.25" thickBot="1" x14ac:dyDescent="0.35">
      <c r="A3" s="24">
        <v>2</v>
      </c>
      <c r="B3" s="8" t="s">
        <v>49</v>
      </c>
      <c r="C3" s="9">
        <f>J5</f>
        <v>15</v>
      </c>
      <c r="D3" s="9">
        <f>D2+F2+J6</f>
        <v>55</v>
      </c>
      <c r="E3" s="9">
        <f>J11</f>
        <v>250</v>
      </c>
      <c r="F3" s="10">
        <f>J12</f>
        <v>25</v>
      </c>
      <c r="H3" s="15">
        <v>1</v>
      </c>
      <c r="I3" s="16" t="s">
        <v>27</v>
      </c>
      <c r="J3" s="18">
        <v>8</v>
      </c>
    </row>
    <row r="4" spans="1:10" ht="17.25" thickBot="1" x14ac:dyDescent="0.35">
      <c r="A4" s="24">
        <v>3</v>
      </c>
      <c r="B4" s="8" t="s">
        <v>50</v>
      </c>
      <c r="C4" s="9">
        <f>J5</f>
        <v>15</v>
      </c>
      <c r="D4" s="9">
        <f>D3+F3+J8</f>
        <v>85</v>
      </c>
      <c r="E4" s="9">
        <f>J11</f>
        <v>250</v>
      </c>
      <c r="F4" s="10">
        <f>J12</f>
        <v>25</v>
      </c>
      <c r="H4" s="7">
        <v>2</v>
      </c>
      <c r="I4" s="8" t="s">
        <v>28</v>
      </c>
      <c r="J4" s="10">
        <v>31</v>
      </c>
    </row>
    <row r="5" spans="1:10" ht="17.25" thickBot="1" x14ac:dyDescent="0.35">
      <c r="A5" s="24">
        <v>4</v>
      </c>
      <c r="B5" s="8" t="s">
        <v>51</v>
      </c>
      <c r="C5" s="9">
        <f>C4+E4+J5</f>
        <v>280</v>
      </c>
      <c r="D5" s="9">
        <f>D2+F2+J6</f>
        <v>55</v>
      </c>
      <c r="E5" s="9">
        <f>J11</f>
        <v>250</v>
      </c>
      <c r="F5" s="10">
        <f>J12</f>
        <v>25</v>
      </c>
      <c r="H5" s="7">
        <v>3</v>
      </c>
      <c r="I5" s="8" t="s">
        <v>32</v>
      </c>
      <c r="J5" s="10">
        <v>15</v>
      </c>
    </row>
    <row r="6" spans="1:10" ht="17.25" thickBot="1" x14ac:dyDescent="0.35">
      <c r="A6" s="24">
        <v>5</v>
      </c>
      <c r="B6" s="8" t="s">
        <v>52</v>
      </c>
      <c r="C6" s="9">
        <f>C4+E4+J5</f>
        <v>280</v>
      </c>
      <c r="D6" s="9">
        <f>D5+F5+J8</f>
        <v>85</v>
      </c>
      <c r="E6" s="9">
        <f>J11</f>
        <v>250</v>
      </c>
      <c r="F6" s="10">
        <f>J12</f>
        <v>25</v>
      </c>
      <c r="H6" s="7">
        <v>4</v>
      </c>
      <c r="I6" s="8" t="s">
        <v>34</v>
      </c>
      <c r="J6" s="10">
        <v>15</v>
      </c>
    </row>
    <row r="7" spans="1:10" ht="17.25" thickBot="1" x14ac:dyDescent="0.35">
      <c r="A7" s="24">
        <v>6</v>
      </c>
      <c r="B7" s="8" t="s">
        <v>53</v>
      </c>
      <c r="C7" s="9">
        <f>J5</f>
        <v>15</v>
      </c>
      <c r="D7" s="9">
        <f>D6+F6+J6</f>
        <v>125</v>
      </c>
      <c r="E7" s="9">
        <f>J11</f>
        <v>250</v>
      </c>
      <c r="F7" s="10">
        <f>J12</f>
        <v>25</v>
      </c>
      <c r="H7" s="7">
        <v>5</v>
      </c>
      <c r="I7" s="8" t="s">
        <v>35</v>
      </c>
      <c r="J7" s="10">
        <v>0</v>
      </c>
    </row>
    <row r="8" spans="1:10" ht="17.25" thickBot="1" x14ac:dyDescent="0.35">
      <c r="A8" s="24">
        <v>7</v>
      </c>
      <c r="B8" s="8" t="s">
        <v>54</v>
      </c>
      <c r="C8" s="9">
        <f>J5</f>
        <v>15</v>
      </c>
      <c r="D8" s="9">
        <f>D7+F7+J8</f>
        <v>155</v>
      </c>
      <c r="E8" s="9">
        <f>J11</f>
        <v>250</v>
      </c>
      <c r="F8" s="10">
        <f>J12</f>
        <v>25</v>
      </c>
      <c r="H8" s="7">
        <v>6</v>
      </c>
      <c r="I8" s="8" t="s">
        <v>36</v>
      </c>
      <c r="J8" s="10">
        <v>5</v>
      </c>
    </row>
    <row r="9" spans="1:10" ht="17.25" thickBot="1" x14ac:dyDescent="0.35">
      <c r="A9" s="24">
        <v>8</v>
      </c>
      <c r="B9" s="8" t="s">
        <v>55</v>
      </c>
      <c r="C9" s="9">
        <f>C7+E7+J5</f>
        <v>280</v>
      </c>
      <c r="D9" s="9">
        <f>D6+F6+J6</f>
        <v>125</v>
      </c>
      <c r="E9" s="9">
        <f>J11</f>
        <v>250</v>
      </c>
      <c r="F9" s="10">
        <f>J12</f>
        <v>25</v>
      </c>
      <c r="H9" s="7">
        <v>7</v>
      </c>
      <c r="I9" s="8" t="s">
        <v>30</v>
      </c>
      <c r="J9" s="10">
        <f>E40+J3+J3+J5+J5</f>
        <v>599</v>
      </c>
    </row>
    <row r="10" spans="1:10" ht="17.25" thickBot="1" x14ac:dyDescent="0.35">
      <c r="A10" s="24">
        <v>9</v>
      </c>
      <c r="B10" s="8" t="s">
        <v>56</v>
      </c>
      <c r="C10" s="9">
        <f>C8+E8+J5</f>
        <v>280</v>
      </c>
      <c r="D10" s="9">
        <f>D9+F9+J8</f>
        <v>155</v>
      </c>
      <c r="E10" s="9">
        <f>J11</f>
        <v>250</v>
      </c>
      <c r="F10" s="10">
        <f>J12</f>
        <v>25</v>
      </c>
      <c r="H10" s="7">
        <v>8</v>
      </c>
      <c r="I10" s="8" t="s">
        <v>31</v>
      </c>
      <c r="J10" s="10">
        <f>D42+F42+J6+J3+J4</f>
        <v>604</v>
      </c>
    </row>
    <row r="11" spans="1:10" ht="17.25" thickBot="1" x14ac:dyDescent="0.35">
      <c r="A11" s="24">
        <v>10</v>
      </c>
      <c r="B11" s="8" t="s">
        <v>57</v>
      </c>
      <c r="C11" s="9">
        <f>J5</f>
        <v>15</v>
      </c>
      <c r="D11" s="9">
        <f>D8+F8+J6</f>
        <v>195</v>
      </c>
      <c r="E11" s="9">
        <f>J11</f>
        <v>250</v>
      </c>
      <c r="F11" s="10">
        <f>J12</f>
        <v>25</v>
      </c>
      <c r="H11" s="7">
        <v>9</v>
      </c>
      <c r="I11" s="8" t="s">
        <v>37</v>
      </c>
      <c r="J11" s="10">
        <v>250</v>
      </c>
    </row>
    <row r="12" spans="1:10" ht="17.25" thickBot="1" x14ac:dyDescent="0.35">
      <c r="A12" s="24">
        <v>11</v>
      </c>
      <c r="B12" s="8" t="s">
        <v>58</v>
      </c>
      <c r="C12" s="9">
        <f>J5</f>
        <v>15</v>
      </c>
      <c r="D12" s="9">
        <f>D11+F11+J8</f>
        <v>225</v>
      </c>
      <c r="E12" s="9">
        <f>J11</f>
        <v>250</v>
      </c>
      <c r="F12" s="10">
        <f>J12</f>
        <v>25</v>
      </c>
      <c r="H12" s="7">
        <v>10</v>
      </c>
      <c r="I12" s="8" t="s">
        <v>38</v>
      </c>
      <c r="J12" s="10">
        <v>25</v>
      </c>
    </row>
    <row r="13" spans="1:10" ht="17.25" thickBot="1" x14ac:dyDescent="0.35">
      <c r="A13" s="24">
        <v>12</v>
      </c>
      <c r="B13" s="8" t="s">
        <v>42</v>
      </c>
      <c r="C13" s="9">
        <f>C11+E11+J5</f>
        <v>280</v>
      </c>
      <c r="D13" s="9">
        <f>D10+F10+J6</f>
        <v>195</v>
      </c>
      <c r="E13" s="9">
        <f>J11</f>
        <v>250</v>
      </c>
      <c r="F13" s="10">
        <f>J12</f>
        <v>25</v>
      </c>
      <c r="H13" s="7">
        <v>11</v>
      </c>
      <c r="I13" s="8" t="s">
        <v>39</v>
      </c>
      <c r="J13" s="10">
        <v>515</v>
      </c>
    </row>
    <row r="14" spans="1:10" ht="17.25" thickBot="1" x14ac:dyDescent="0.35">
      <c r="A14" s="24">
        <v>13</v>
      </c>
      <c r="B14" s="8" t="s">
        <v>43</v>
      </c>
      <c r="C14" s="9">
        <f>C12+E12+J5</f>
        <v>280</v>
      </c>
      <c r="D14" s="9">
        <f>D13+F13+J8</f>
        <v>225</v>
      </c>
      <c r="E14" s="9">
        <f>J11</f>
        <v>250</v>
      </c>
      <c r="F14" s="10">
        <f>J12</f>
        <v>25</v>
      </c>
      <c r="H14" s="11">
        <v>12</v>
      </c>
      <c r="I14" s="12" t="s">
        <v>40</v>
      </c>
      <c r="J14" s="14">
        <f>3*J12</f>
        <v>75</v>
      </c>
    </row>
    <row r="15" spans="1:10" ht="17.25" thickBot="1" x14ac:dyDescent="0.35">
      <c r="A15" s="24">
        <v>14</v>
      </c>
      <c r="B15" s="8" t="s">
        <v>44</v>
      </c>
      <c r="C15" s="9">
        <f>J5</f>
        <v>15</v>
      </c>
      <c r="D15" s="9">
        <f>D12+F12+J6</f>
        <v>265</v>
      </c>
      <c r="E15" s="9">
        <f>J11</f>
        <v>250</v>
      </c>
      <c r="F15" s="10">
        <f>J12</f>
        <v>25</v>
      </c>
    </row>
    <row r="16" spans="1:10" ht="17.25" thickBot="1" x14ac:dyDescent="0.35">
      <c r="A16" s="24">
        <v>15</v>
      </c>
      <c r="B16" s="8" t="s">
        <v>45</v>
      </c>
      <c r="C16" s="9">
        <f>J5</f>
        <v>15</v>
      </c>
      <c r="D16" s="9">
        <f>D15+F15+J8</f>
        <v>295</v>
      </c>
      <c r="E16" s="9">
        <f>J11</f>
        <v>250</v>
      </c>
      <c r="F16" s="10">
        <f>J12</f>
        <v>25</v>
      </c>
    </row>
    <row r="17" spans="1:6" ht="17.25" thickBot="1" x14ac:dyDescent="0.35">
      <c r="A17" s="24">
        <v>16</v>
      </c>
      <c r="B17" s="8" t="s">
        <v>46</v>
      </c>
      <c r="C17" s="9">
        <f>C15+E15+J5</f>
        <v>280</v>
      </c>
      <c r="D17" s="9">
        <f>D14+F14+J6</f>
        <v>265</v>
      </c>
      <c r="E17" s="9">
        <f>J11</f>
        <v>250</v>
      </c>
      <c r="F17" s="10">
        <f>J12</f>
        <v>25</v>
      </c>
    </row>
    <row r="18" spans="1:6" ht="17.25" thickBot="1" x14ac:dyDescent="0.35">
      <c r="A18" s="24">
        <v>17</v>
      </c>
      <c r="B18" s="8" t="s">
        <v>47</v>
      </c>
      <c r="C18" s="9">
        <f>C16+E16+J5</f>
        <v>280</v>
      </c>
      <c r="D18" s="9">
        <f>D17+F17+J8</f>
        <v>295</v>
      </c>
      <c r="E18" s="9">
        <f>J11</f>
        <v>250</v>
      </c>
      <c r="F18" s="10">
        <f>J12</f>
        <v>25</v>
      </c>
    </row>
    <row r="19" spans="1:6" ht="17.25" thickBot="1" x14ac:dyDescent="0.35">
      <c r="A19" s="24">
        <v>18</v>
      </c>
      <c r="B19" s="8" t="s">
        <v>59</v>
      </c>
      <c r="C19" s="9">
        <f>J5</f>
        <v>15</v>
      </c>
      <c r="D19" s="9">
        <f>D18+F18+J6*7</f>
        <v>425</v>
      </c>
      <c r="E19" s="9">
        <f>J13</f>
        <v>515</v>
      </c>
      <c r="F19" s="10">
        <f>J12</f>
        <v>25</v>
      </c>
    </row>
    <row r="20" spans="1:6" ht="17.25" thickBot="1" x14ac:dyDescent="0.35">
      <c r="A20" s="29">
        <v>19</v>
      </c>
      <c r="B20" s="30" t="s">
        <v>48</v>
      </c>
      <c r="C20" s="31" t="s">
        <v>60</v>
      </c>
      <c r="D20" s="31" t="s">
        <v>60</v>
      </c>
      <c r="E20" s="31" t="s">
        <v>60</v>
      </c>
      <c r="F20" s="32" t="s">
        <v>60</v>
      </c>
    </row>
    <row r="21" spans="1:6" ht="17.25" thickBot="1" x14ac:dyDescent="0.35">
      <c r="A21" s="23">
        <v>1</v>
      </c>
      <c r="B21" s="16" t="s">
        <v>67</v>
      </c>
      <c r="C21" s="17">
        <f>J5</f>
        <v>15</v>
      </c>
      <c r="D21" s="17">
        <f>J6</f>
        <v>15</v>
      </c>
      <c r="E21" s="17">
        <f>J13</f>
        <v>515</v>
      </c>
      <c r="F21" s="18">
        <f>J12</f>
        <v>25</v>
      </c>
    </row>
    <row r="22" spans="1:6" ht="17.25" thickBot="1" x14ac:dyDescent="0.35">
      <c r="A22" s="24">
        <v>2</v>
      </c>
      <c r="B22" s="8" t="s">
        <v>66</v>
      </c>
      <c r="C22" s="9">
        <f>J5</f>
        <v>15</v>
      </c>
      <c r="D22" s="9">
        <f>D21+F21+J6</f>
        <v>55</v>
      </c>
      <c r="E22" s="9">
        <f>J13</f>
        <v>515</v>
      </c>
      <c r="F22" s="10">
        <f>J12</f>
        <v>25</v>
      </c>
    </row>
    <row r="23" spans="1:6" ht="17.25" thickBot="1" x14ac:dyDescent="0.35">
      <c r="A23" s="24">
        <v>3</v>
      </c>
      <c r="B23" s="8" t="s">
        <v>65</v>
      </c>
      <c r="C23" s="9">
        <f>J5</f>
        <v>15</v>
      </c>
      <c r="D23" s="9">
        <f>D22+F22+J8</f>
        <v>85</v>
      </c>
      <c r="E23" s="9">
        <f>J13</f>
        <v>515</v>
      </c>
      <c r="F23" s="10">
        <f>J14</f>
        <v>75</v>
      </c>
    </row>
    <row r="24" spans="1:6" ht="17.25" thickBot="1" x14ac:dyDescent="0.35">
      <c r="A24" s="24">
        <v>4</v>
      </c>
      <c r="B24" s="8" t="s">
        <v>21</v>
      </c>
      <c r="C24" s="9">
        <f>J5</f>
        <v>15</v>
      </c>
      <c r="D24" s="9">
        <f>D23+F23+J6</f>
        <v>175</v>
      </c>
      <c r="E24" s="9">
        <f>J13</f>
        <v>515</v>
      </c>
      <c r="F24" s="10">
        <f>J12</f>
        <v>25</v>
      </c>
    </row>
    <row r="25" spans="1:6" ht="17.25" thickBot="1" x14ac:dyDescent="0.35">
      <c r="A25" s="24">
        <v>5</v>
      </c>
      <c r="B25" s="8" t="s">
        <v>64</v>
      </c>
      <c r="C25" s="9">
        <f>J5</f>
        <v>15</v>
      </c>
      <c r="D25" s="9">
        <f>D24+F24+J8</f>
        <v>205</v>
      </c>
      <c r="E25" s="9">
        <f>J13</f>
        <v>515</v>
      </c>
      <c r="F25" s="10">
        <f>J14</f>
        <v>75</v>
      </c>
    </row>
    <row r="26" spans="1:6" ht="17.25" thickBot="1" x14ac:dyDescent="0.35">
      <c r="A26" s="24">
        <v>6</v>
      </c>
      <c r="B26" s="8" t="s">
        <v>63</v>
      </c>
      <c r="C26" s="9">
        <f>J5</f>
        <v>15</v>
      </c>
      <c r="D26" s="9">
        <f>D25+F25+J6</f>
        <v>295</v>
      </c>
      <c r="E26" s="9">
        <f>J13</f>
        <v>515</v>
      </c>
      <c r="F26" s="10">
        <f>J12</f>
        <v>25</v>
      </c>
    </row>
    <row r="27" spans="1:6" ht="17.25" thickBot="1" x14ac:dyDescent="0.35">
      <c r="A27" s="24">
        <v>7</v>
      </c>
      <c r="B27" s="8" t="s">
        <v>62</v>
      </c>
      <c r="C27" s="9">
        <f>J5</f>
        <v>15</v>
      </c>
      <c r="D27" s="9">
        <f>D26+F26+J8</f>
        <v>325</v>
      </c>
      <c r="E27" s="9">
        <f>J13</f>
        <v>515</v>
      </c>
      <c r="F27" s="10">
        <f>J14</f>
        <v>75</v>
      </c>
    </row>
    <row r="28" spans="1:6" ht="17.25" thickBot="1" x14ac:dyDescent="0.35">
      <c r="A28" s="29">
        <v>8</v>
      </c>
      <c r="B28" s="30" t="s">
        <v>61</v>
      </c>
      <c r="C28" s="31">
        <f>J5</f>
        <v>15</v>
      </c>
      <c r="D28" s="31">
        <f>D19</f>
        <v>425</v>
      </c>
      <c r="E28" s="31">
        <f>J13</f>
        <v>515</v>
      </c>
      <c r="F28" s="32">
        <f>J12</f>
        <v>25</v>
      </c>
    </row>
    <row r="29" spans="1:6" ht="17.25" thickBot="1" x14ac:dyDescent="0.35">
      <c r="A29" s="23">
        <v>1</v>
      </c>
      <c r="B29" s="16" t="s">
        <v>68</v>
      </c>
      <c r="C29" s="17">
        <f>J5</f>
        <v>15</v>
      </c>
      <c r="D29" s="17">
        <f>J6</f>
        <v>15</v>
      </c>
      <c r="E29" s="17">
        <f>J13</f>
        <v>515</v>
      </c>
      <c r="F29" s="18">
        <f>J12</f>
        <v>25</v>
      </c>
    </row>
    <row r="30" spans="1:6" ht="17.25" thickBot="1" x14ac:dyDescent="0.35">
      <c r="A30" s="24">
        <v>2</v>
      </c>
      <c r="B30" s="8" t="s">
        <v>69</v>
      </c>
      <c r="C30" s="9">
        <f>J5</f>
        <v>15</v>
      </c>
      <c r="D30" s="9">
        <f>D29+F29+J6</f>
        <v>55</v>
      </c>
      <c r="E30" s="9">
        <f>J13-J5-E32</f>
        <v>475</v>
      </c>
      <c r="F30" s="10">
        <f>J12</f>
        <v>25</v>
      </c>
    </row>
    <row r="31" spans="1:6" ht="17.25" thickBot="1" x14ac:dyDescent="0.35">
      <c r="A31" s="24">
        <v>3</v>
      </c>
      <c r="B31" s="8" t="s">
        <v>71</v>
      </c>
      <c r="C31" s="9">
        <f>J5</f>
        <v>15</v>
      </c>
      <c r="D31" s="9">
        <f>D30+F30+J8</f>
        <v>85</v>
      </c>
      <c r="E31" s="9">
        <f>J13-J5-E32</f>
        <v>475</v>
      </c>
      <c r="F31" s="10">
        <f>J12</f>
        <v>25</v>
      </c>
    </row>
    <row r="32" spans="1:6" ht="17.25" thickBot="1" x14ac:dyDescent="0.35">
      <c r="A32" s="24">
        <v>4</v>
      </c>
      <c r="B32" s="8" t="s">
        <v>76</v>
      </c>
      <c r="C32" s="9">
        <f>C31+E31+J5</f>
        <v>505</v>
      </c>
      <c r="D32" s="9">
        <f>D31</f>
        <v>85</v>
      </c>
      <c r="E32" s="9">
        <f>F32</f>
        <v>25</v>
      </c>
      <c r="F32" s="10">
        <f>J12</f>
        <v>25</v>
      </c>
    </row>
    <row r="33" spans="1:6" ht="17.25" thickBot="1" x14ac:dyDescent="0.35">
      <c r="A33" s="24">
        <v>5</v>
      </c>
      <c r="B33" s="8" t="s">
        <v>70</v>
      </c>
      <c r="C33" s="9">
        <f>J5</f>
        <v>15</v>
      </c>
      <c r="D33" s="9">
        <f>D31+F31+J6</f>
        <v>125</v>
      </c>
      <c r="E33" s="9">
        <f>J13-J5-F35</f>
        <v>475</v>
      </c>
      <c r="F33" s="10">
        <f>J12</f>
        <v>25</v>
      </c>
    </row>
    <row r="34" spans="1:6" ht="17.25" thickBot="1" x14ac:dyDescent="0.35">
      <c r="A34" s="24">
        <v>6</v>
      </c>
      <c r="B34" s="8" t="s">
        <v>72</v>
      </c>
      <c r="C34" s="9">
        <f>J5</f>
        <v>15</v>
      </c>
      <c r="D34" s="9">
        <f>D33+F33+J8</f>
        <v>155</v>
      </c>
      <c r="E34" s="9">
        <f>J13-J5-F35</f>
        <v>475</v>
      </c>
      <c r="F34" s="10">
        <f>J12</f>
        <v>25</v>
      </c>
    </row>
    <row r="35" spans="1:6" ht="17.25" thickBot="1" x14ac:dyDescent="0.35">
      <c r="A35" s="24">
        <v>7</v>
      </c>
      <c r="B35" s="8" t="s">
        <v>77</v>
      </c>
      <c r="C35" s="9">
        <f>C34+E34+J5</f>
        <v>505</v>
      </c>
      <c r="D35" s="9">
        <f>D34</f>
        <v>155</v>
      </c>
      <c r="E35" s="9">
        <f>F35</f>
        <v>25</v>
      </c>
      <c r="F35" s="10">
        <f>J12</f>
        <v>25</v>
      </c>
    </row>
    <row r="36" spans="1:6" ht="17.25" thickBot="1" x14ac:dyDescent="0.35">
      <c r="A36" s="24">
        <v>8</v>
      </c>
      <c r="B36" s="8" t="s">
        <v>73</v>
      </c>
      <c r="C36" s="9">
        <f>J5</f>
        <v>15</v>
      </c>
      <c r="D36" s="9">
        <f>D34+F34+J6</f>
        <v>195</v>
      </c>
      <c r="E36" s="9">
        <f>J13-F38-J5</f>
        <v>475</v>
      </c>
      <c r="F36" s="10">
        <f>J12</f>
        <v>25</v>
      </c>
    </row>
    <row r="37" spans="1:6" ht="17.25" thickBot="1" x14ac:dyDescent="0.35">
      <c r="A37" s="24">
        <v>9</v>
      </c>
      <c r="B37" s="8" t="s">
        <v>74</v>
      </c>
      <c r="C37" s="9">
        <f>J5</f>
        <v>15</v>
      </c>
      <c r="D37" s="9">
        <f>D36+F36+J8</f>
        <v>225</v>
      </c>
      <c r="E37" s="9">
        <f>J13-J5-F38</f>
        <v>475</v>
      </c>
      <c r="F37" s="10">
        <f>J12</f>
        <v>25</v>
      </c>
    </row>
    <row r="38" spans="1:6" ht="17.25" thickBot="1" x14ac:dyDescent="0.35">
      <c r="A38" s="24">
        <v>10</v>
      </c>
      <c r="B38" s="8" t="s">
        <v>78</v>
      </c>
      <c r="C38" s="9">
        <f>C37+E37+J5</f>
        <v>505</v>
      </c>
      <c r="D38" s="9">
        <f>D37</f>
        <v>225</v>
      </c>
      <c r="E38" s="9">
        <f>F38</f>
        <v>25</v>
      </c>
      <c r="F38" s="10">
        <f>J12</f>
        <v>25</v>
      </c>
    </row>
    <row r="39" spans="1:6" ht="17.25" thickBot="1" x14ac:dyDescent="0.35">
      <c r="A39" s="29">
        <v>11</v>
      </c>
      <c r="B39" s="30" t="s">
        <v>75</v>
      </c>
      <c r="C39" s="31">
        <f>J5</f>
        <v>15</v>
      </c>
      <c r="D39" s="31">
        <f>D28</f>
        <v>425</v>
      </c>
      <c r="E39" s="31">
        <f>J13</f>
        <v>515</v>
      </c>
      <c r="F39" s="32">
        <f>J12</f>
        <v>25</v>
      </c>
    </row>
    <row r="40" spans="1:6" ht="17.25" thickBot="1" x14ac:dyDescent="0.35">
      <c r="A40" s="23">
        <v>1</v>
      </c>
      <c r="B40" s="16" t="s">
        <v>79</v>
      </c>
      <c r="C40" s="17">
        <v>15</v>
      </c>
      <c r="D40" s="17">
        <v>15</v>
      </c>
      <c r="E40" s="17">
        <f>E41+8</f>
        <v>553</v>
      </c>
      <c r="F40" s="18">
        <f>F41+30</f>
        <v>495</v>
      </c>
    </row>
    <row r="41" spans="1:6" ht="17.25" thickBot="1" x14ac:dyDescent="0.35">
      <c r="A41" s="24">
        <v>2</v>
      </c>
      <c r="B41" s="8" t="s">
        <v>80</v>
      </c>
      <c r="C41" s="9" t="s">
        <v>60</v>
      </c>
      <c r="D41" s="9" t="s">
        <v>60</v>
      </c>
      <c r="E41" s="9">
        <f>J5+J13+J5</f>
        <v>545</v>
      </c>
      <c r="F41" s="10">
        <f>D39+F39+J6</f>
        <v>465</v>
      </c>
    </row>
    <row r="42" spans="1:6" ht="17.25" thickBot="1" x14ac:dyDescent="0.35">
      <c r="A42" s="25">
        <v>3</v>
      </c>
      <c r="B42" s="12" t="s">
        <v>81</v>
      </c>
      <c r="C42" s="13">
        <v>15</v>
      </c>
      <c r="D42" s="13">
        <f>F40+J6+J6</f>
        <v>525</v>
      </c>
      <c r="E42" s="13">
        <f>E40</f>
        <v>553</v>
      </c>
      <c r="F42" s="14">
        <f>J12</f>
        <v>25</v>
      </c>
    </row>
    <row r="43" spans="1:6" ht="17.25" thickTop="1" x14ac:dyDescent="0.3"/>
  </sheetData>
  <sortState xmlns:xlrd2="http://schemas.microsoft.com/office/spreadsheetml/2017/richdata2" ref="A2:F20">
    <sortCondition ref="A2:A20"/>
  </sortState>
  <mergeCells count="1">
    <mergeCell ref="H1:J1"/>
  </mergeCells>
  <pageMargins left="0.7" right="0.7" top="0.75" bottom="0.75" header="0.3" footer="0.3"/>
  <ignoredErrors>
    <ignoredError sqref="E18 F2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Mainform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MPC</dc:creator>
  <cp:lastModifiedBy>алексей велит</cp:lastModifiedBy>
  <dcterms:created xsi:type="dcterms:W3CDTF">2015-06-05T18:19:34Z</dcterms:created>
  <dcterms:modified xsi:type="dcterms:W3CDTF">2025-08-14T17:51:44Z</dcterms:modified>
</cp:coreProperties>
</file>